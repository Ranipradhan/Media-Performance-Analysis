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edia_Performance_Analysis\"/>
    </mc:Choice>
  </mc:AlternateContent>
  <xr:revisionPtr revIDLastSave="0" documentId="8_{B613E34C-8D07-4612-B668-B47E9F4045B2}" xr6:coauthVersionLast="47" xr6:coauthVersionMax="47" xr10:uidLastSave="{00000000-0000-0000-0000-000000000000}"/>
  <bookViews>
    <workbookView xWindow="-108" yWindow="-108" windowWidth="23256" windowHeight="12456" activeTab="1" xr2:uid="{89848DE1-3751-499F-BCAB-E50230CFD814}"/>
  </bookViews>
  <sheets>
    <sheet name="Media_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E2" i="2"/>
  <c r="E3" i="2"/>
  <c r="E4" i="2"/>
  <c r="E5" i="2"/>
  <c r="G3" i="2"/>
  <c r="G4" i="2"/>
  <c r="G5" i="2"/>
  <c r="G2" i="2"/>
  <c r="F3" i="2"/>
  <c r="F4" i="2"/>
  <c r="F5" i="2"/>
  <c r="F2" i="2"/>
  <c r="B7" i="2"/>
  <c r="B6" i="2"/>
  <c r="B5" i="2"/>
  <c r="B3" i="2"/>
  <c r="B2" i="2"/>
  <c r="B1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J2" i="1"/>
  <c r="I2" i="1"/>
</calcChain>
</file>

<file path=xl/sharedStrings.xml><?xml version="1.0" encoding="utf-8"?>
<sst xmlns="http://schemas.openxmlformats.org/spreadsheetml/2006/main" count="76" uniqueCount="57">
  <si>
    <t>Article_ID</t>
  </si>
  <si>
    <t>Publish_Date</t>
  </si>
  <si>
    <t>Category</t>
  </si>
  <si>
    <t>Article_Title</t>
  </si>
  <si>
    <t>Views</t>
  </si>
  <si>
    <t>Clicks</t>
  </si>
  <si>
    <t>Likes</t>
  </si>
  <si>
    <t>Shares</t>
  </si>
  <si>
    <t>A001</t>
  </si>
  <si>
    <t>Technology</t>
  </si>
  <si>
    <t>AI Trends</t>
  </si>
  <si>
    <t>A002</t>
  </si>
  <si>
    <t>Business</t>
  </si>
  <si>
    <t>Market Update</t>
  </si>
  <si>
    <t>A003</t>
  </si>
  <si>
    <t>Entertainment</t>
  </si>
  <si>
    <t>Film Review</t>
  </si>
  <si>
    <t>A004</t>
  </si>
  <si>
    <t>Cybersecurity Tips</t>
  </si>
  <si>
    <t>A005</t>
  </si>
  <si>
    <t>Sports</t>
  </si>
  <si>
    <t>Match Analysis</t>
  </si>
  <si>
    <t>A006</t>
  </si>
  <si>
    <t>Startup News</t>
  </si>
  <si>
    <t>A007</t>
  </si>
  <si>
    <t>Celebrity Interview</t>
  </si>
  <si>
    <t>A008</t>
  </si>
  <si>
    <t>Mobile Innovations</t>
  </si>
  <si>
    <t>A009</t>
  </si>
  <si>
    <t>Tournament Highlights</t>
  </si>
  <si>
    <t>A010</t>
  </si>
  <si>
    <t>Economic Outlook</t>
  </si>
  <si>
    <t>A011</t>
  </si>
  <si>
    <t>Music Trends</t>
  </si>
  <si>
    <t>A012</t>
  </si>
  <si>
    <t>Data Analytics Guide</t>
  </si>
  <si>
    <t>A013</t>
  </si>
  <si>
    <t>Player Spotlight</t>
  </si>
  <si>
    <t>A014</t>
  </si>
  <si>
    <t>Digital Payments</t>
  </si>
  <si>
    <t>A015</t>
  </si>
  <si>
    <t>Streaming Review</t>
  </si>
  <si>
    <t>CTR</t>
  </si>
  <si>
    <t>Engagements</t>
  </si>
  <si>
    <t>Total Views</t>
  </si>
  <si>
    <t>Total Clicks</t>
  </si>
  <si>
    <t>Total Engagements</t>
  </si>
  <si>
    <t>Average CTR</t>
  </si>
  <si>
    <t>Highest Views</t>
  </si>
  <si>
    <t>Lowest Views</t>
  </si>
  <si>
    <t>Average Views per Article</t>
  </si>
  <si>
    <t>MEDIA PERFORMANCE ANALYSIS DASHBOARD</t>
  </si>
  <si>
    <t>BUSINESS INSIGHTS</t>
  </si>
  <si>
    <t>Sports articles received 57,000 views, indicating strong audience interest in sports content.</t>
  </si>
  <si>
    <t>Entertainment was the top-performing category by total views, with 60,500 views</t>
  </si>
  <si>
    <t>Technology articles generated 52,000 views and 4,190 clicks, showing measurable audience engagement.</t>
  </si>
  <si>
    <t>The average Click-Through Rate (CTR) was approximately 7.53%, measuring how effectively article views converted into clicks.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</si>
</sst>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0" applyNumberFormat="1" applyFont="1"/>
    <xf numFmtId="0" fontId="2" fillId="2" borderId="0" xfId="0" applyFont="1" applyFill="1"/>
    <xf numFmtId="0" fontId="3" fillId="3" borderId="0" xfId="0" applyFont="1" applyFill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Views by Media Category</a:t>
            </a:r>
          </a:p>
        </c:rich>
      </c:tx>
      <c:layout>
        <c:manualLayout>
          <c:xMode val="edge"/>
          <c:yMode val="edge"/>
          <c:x val="0.3353319446485215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Analysis!$D$2:$D$5</c:f>
              <c:strCache>
                <c:ptCount val="4"/>
                <c:pt idx="0">
                  <c:v>Technology</c:v>
                </c:pt>
                <c:pt idx="1">
                  <c:v>Business</c:v>
                </c:pt>
                <c:pt idx="2">
                  <c:v>Entertainment</c:v>
                </c:pt>
                <c:pt idx="3">
                  <c:v>Sports</c:v>
                </c:pt>
              </c:strCache>
            </c:strRef>
          </c:cat>
          <c:val>
            <c:numRef>
              <c:f>Analysis!$E$2:$E$5</c:f>
              <c:numCache>
                <c:formatCode>General</c:formatCode>
                <c:ptCount val="4"/>
                <c:pt idx="0">
                  <c:v>52000</c:v>
                </c:pt>
                <c:pt idx="1">
                  <c:v>39500</c:v>
                </c:pt>
                <c:pt idx="2">
                  <c:v>60500</c:v>
                </c:pt>
                <c:pt idx="3">
                  <c:v>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B-4932-9BC0-487566B50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670672"/>
        <c:axId val="1585671152"/>
      </c:barChart>
      <c:catAx>
        <c:axId val="158567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71152"/>
        <c:crosses val="autoZero"/>
        <c:auto val="1"/>
        <c:lblAlgn val="ctr"/>
        <c:lblOffset val="100"/>
        <c:noMultiLvlLbl val="0"/>
      </c:catAx>
      <c:valAx>
        <c:axId val="15856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7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Clicks by Media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Total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Analysis!$D$2:$D$5</c:f>
              <c:strCache>
                <c:ptCount val="4"/>
                <c:pt idx="0">
                  <c:v>Technology</c:v>
                </c:pt>
                <c:pt idx="1">
                  <c:v>Business</c:v>
                </c:pt>
                <c:pt idx="2">
                  <c:v>Entertainment</c:v>
                </c:pt>
                <c:pt idx="3">
                  <c:v>Sports</c:v>
                </c:pt>
              </c:strCache>
            </c:strRef>
          </c:cat>
          <c:val>
            <c:numRef>
              <c:f>Analysis!$F$2:$F$5</c:f>
              <c:numCache>
                <c:formatCode>General</c:formatCode>
                <c:ptCount val="4"/>
                <c:pt idx="0">
                  <c:v>4190</c:v>
                </c:pt>
                <c:pt idx="1">
                  <c:v>2520</c:v>
                </c:pt>
                <c:pt idx="2">
                  <c:v>4990</c:v>
                </c:pt>
                <c:pt idx="3">
                  <c:v>4440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3-4871-A3B3-34932823A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978608"/>
        <c:axId val="1595976688"/>
      </c:barChart>
      <c:catAx>
        <c:axId val="15959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76688"/>
        <c:crosses val="autoZero"/>
        <c:auto val="1"/>
        <c:lblAlgn val="ctr"/>
        <c:lblOffset val="100"/>
        <c:noMultiLvlLbl val="0"/>
      </c:catAx>
      <c:valAx>
        <c:axId val="15959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7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647700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69DCB4-C845-4160-99FE-148C7BD79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</xdr:col>
      <xdr:colOff>480060</xdr:colOff>
      <xdr:row>42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9647CE-DBD5-4436-A36E-3D4A54272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2D9DB-10EC-4B1E-A571-3A44708B28F0}" name="MediaData" displayName="MediaData" ref="A1:J16" totalsRowShown="0">
  <autoFilter ref="A1:J16" xr:uid="{1F52D9DB-10EC-4B1E-A571-3A44708B28F0}"/>
  <tableColumns count="10">
    <tableColumn id="1" xr3:uid="{3BEECF23-1DB2-490A-B9CF-3003C882291D}" name="Article_ID"/>
    <tableColumn id="2" xr3:uid="{030909B1-2560-4201-B89D-42C0DEC64685}" name="Publish_Date" dataDxfId="1"/>
    <tableColumn id="3" xr3:uid="{75B2549B-ABF6-430A-80D9-3462456BCC2A}" name="Category"/>
    <tableColumn id="4" xr3:uid="{D4F5BE7A-132A-47AD-ACDE-F5CC0C271B8C}" name="Article_Title"/>
    <tableColumn id="5" xr3:uid="{A51DD49D-9583-4B8B-B983-99334C7796A3}" name="Views"/>
    <tableColumn id="6" xr3:uid="{8161B432-58C5-45B7-85D2-A4127B378FEE}" name="Clicks"/>
    <tableColumn id="7" xr3:uid="{7895DB06-C563-440A-A983-A716C87E564C}" name="Likes"/>
    <tableColumn id="8" xr3:uid="{72ABC8A0-A4AB-4C5D-AE2E-AE659694ADE4}" name="Shares"/>
    <tableColumn id="9" xr3:uid="{79A31C3C-E850-4EF7-90BB-F329E2060D81}" name="CTR" dataCellStyle="Percent">
      <calculatedColumnFormula>IFERROR(F2/E2,0)</calculatedColumnFormula>
    </tableColumn>
    <tableColumn id="10" xr3:uid="{D67E7AF7-74E1-475E-A509-121A2593F4B1}" name="Engagements" dataDxfId="0">
      <calculatedColumnFormula>G2+H2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8942-5014-45F0-9D13-9C197A06C655}">
  <dimension ref="A1:J16"/>
  <sheetViews>
    <sheetView workbookViewId="0">
      <selection activeCell="J2" sqref="J2:J16"/>
    </sheetView>
  </sheetViews>
  <sheetFormatPr defaultRowHeight="14.4" x14ac:dyDescent="0.3"/>
  <cols>
    <col min="1" max="1" width="11" customWidth="1"/>
    <col min="2" max="2" width="13.88671875" customWidth="1"/>
    <col min="3" max="3" width="10.44140625" customWidth="1"/>
    <col min="4" max="4" width="12.77734375" customWidth="1"/>
    <col min="9" max="9" width="8.88671875" style="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42</v>
      </c>
      <c r="J1" t="s">
        <v>43</v>
      </c>
    </row>
    <row r="2" spans="1:10" x14ac:dyDescent="0.3">
      <c r="A2" t="s">
        <v>8</v>
      </c>
      <c r="B2" s="1">
        <v>46266</v>
      </c>
      <c r="C2" t="s">
        <v>9</v>
      </c>
      <c r="D2" t="s">
        <v>10</v>
      </c>
      <c r="E2">
        <v>12000</v>
      </c>
      <c r="F2">
        <v>960</v>
      </c>
      <c r="G2">
        <v>420</v>
      </c>
      <c r="H2">
        <v>85</v>
      </c>
      <c r="I2" s="2">
        <f t="shared" ref="I2:I16" si="0">IFERROR(F2/E2,0)</f>
        <v>0.08</v>
      </c>
      <c r="J2">
        <f t="shared" ref="J2:J16" si="1">G2+H2</f>
        <v>505</v>
      </c>
    </row>
    <row r="3" spans="1:10" x14ac:dyDescent="0.3">
      <c r="A3" t="s">
        <v>11</v>
      </c>
      <c r="B3" s="1">
        <v>46266</v>
      </c>
      <c r="C3" t="s">
        <v>12</v>
      </c>
      <c r="D3" t="s">
        <v>13</v>
      </c>
      <c r="E3">
        <v>9500</v>
      </c>
      <c r="F3">
        <v>570</v>
      </c>
      <c r="G3">
        <v>280</v>
      </c>
      <c r="H3">
        <v>42</v>
      </c>
      <c r="I3" s="2">
        <f t="shared" si="0"/>
        <v>0.06</v>
      </c>
      <c r="J3">
        <f t="shared" si="1"/>
        <v>322</v>
      </c>
    </row>
    <row r="4" spans="1:10" x14ac:dyDescent="0.3">
      <c r="A4" t="s">
        <v>14</v>
      </c>
      <c r="B4" s="1">
        <v>46267</v>
      </c>
      <c r="C4" t="s">
        <v>15</v>
      </c>
      <c r="D4" t="s">
        <v>16</v>
      </c>
      <c r="E4">
        <v>15000</v>
      </c>
      <c r="F4">
        <v>1350</v>
      </c>
      <c r="G4">
        <v>920</v>
      </c>
      <c r="H4">
        <v>150</v>
      </c>
      <c r="I4" s="2">
        <f t="shared" si="0"/>
        <v>0.09</v>
      </c>
      <c r="J4">
        <f t="shared" si="1"/>
        <v>1070</v>
      </c>
    </row>
    <row r="5" spans="1:10" x14ac:dyDescent="0.3">
      <c r="A5" t="s">
        <v>17</v>
      </c>
      <c r="B5" s="1">
        <v>46267</v>
      </c>
      <c r="C5" t="s">
        <v>9</v>
      </c>
      <c r="D5" t="s">
        <v>18</v>
      </c>
      <c r="E5">
        <v>11000</v>
      </c>
      <c r="F5">
        <v>880</v>
      </c>
      <c r="G5">
        <v>390</v>
      </c>
      <c r="H5">
        <v>70</v>
      </c>
      <c r="I5" s="2">
        <f t="shared" si="0"/>
        <v>0.08</v>
      </c>
      <c r="J5">
        <f t="shared" si="1"/>
        <v>460</v>
      </c>
    </row>
    <row r="6" spans="1:10" x14ac:dyDescent="0.3">
      <c r="A6" t="s">
        <v>19</v>
      </c>
      <c r="B6" s="1">
        <v>46268</v>
      </c>
      <c r="C6" t="s">
        <v>20</v>
      </c>
      <c r="D6" t="s">
        <v>21</v>
      </c>
      <c r="E6">
        <v>18000</v>
      </c>
      <c r="F6">
        <v>1440</v>
      </c>
      <c r="G6">
        <v>1100</v>
      </c>
      <c r="H6">
        <v>210</v>
      </c>
      <c r="I6" s="2">
        <f t="shared" si="0"/>
        <v>0.08</v>
      </c>
      <c r="J6">
        <f t="shared" si="1"/>
        <v>1310</v>
      </c>
    </row>
    <row r="7" spans="1:10" x14ac:dyDescent="0.3">
      <c r="A7" t="s">
        <v>22</v>
      </c>
      <c r="B7" s="1">
        <v>46268</v>
      </c>
      <c r="C7" t="s">
        <v>12</v>
      </c>
      <c r="D7" t="s">
        <v>23</v>
      </c>
      <c r="E7">
        <v>8000</v>
      </c>
      <c r="F7">
        <v>400</v>
      </c>
      <c r="G7">
        <v>190</v>
      </c>
      <c r="H7">
        <v>35</v>
      </c>
      <c r="I7" s="2">
        <f t="shared" si="0"/>
        <v>0.05</v>
      </c>
      <c r="J7">
        <f t="shared" si="1"/>
        <v>225</v>
      </c>
    </row>
    <row r="8" spans="1:10" x14ac:dyDescent="0.3">
      <c r="A8" t="s">
        <v>24</v>
      </c>
      <c r="B8" s="1">
        <v>46269</v>
      </c>
      <c r="C8" t="s">
        <v>15</v>
      </c>
      <c r="D8" t="s">
        <v>25</v>
      </c>
      <c r="E8">
        <v>14000</v>
      </c>
      <c r="F8">
        <v>1120</v>
      </c>
      <c r="G8">
        <v>760</v>
      </c>
      <c r="H8">
        <v>125</v>
      </c>
      <c r="I8" s="2">
        <f t="shared" si="0"/>
        <v>0.08</v>
      </c>
      <c r="J8">
        <f t="shared" si="1"/>
        <v>885</v>
      </c>
    </row>
    <row r="9" spans="1:10" x14ac:dyDescent="0.3">
      <c r="A9" t="s">
        <v>26</v>
      </c>
      <c r="B9" s="1">
        <v>46269</v>
      </c>
      <c r="C9" t="s">
        <v>9</v>
      </c>
      <c r="D9" t="s">
        <v>27</v>
      </c>
      <c r="E9">
        <v>13000</v>
      </c>
      <c r="F9">
        <v>910</v>
      </c>
      <c r="G9">
        <v>440</v>
      </c>
      <c r="H9">
        <v>95</v>
      </c>
      <c r="I9" s="2">
        <f t="shared" si="0"/>
        <v>7.0000000000000007E-2</v>
      </c>
      <c r="J9">
        <f t="shared" si="1"/>
        <v>535</v>
      </c>
    </row>
    <row r="10" spans="1:10" x14ac:dyDescent="0.3">
      <c r="A10" t="s">
        <v>28</v>
      </c>
      <c r="B10" s="1">
        <v>46270</v>
      </c>
      <c r="C10" t="s">
        <v>20</v>
      </c>
      <c r="D10" t="s">
        <v>29</v>
      </c>
      <c r="E10">
        <v>22000</v>
      </c>
      <c r="F10">
        <v>1980</v>
      </c>
      <c r="G10">
        <v>1450</v>
      </c>
      <c r="H10">
        <v>300</v>
      </c>
      <c r="I10" s="2">
        <f t="shared" si="0"/>
        <v>0.09</v>
      </c>
      <c r="J10">
        <f t="shared" si="1"/>
        <v>1750</v>
      </c>
    </row>
    <row r="11" spans="1:10" x14ac:dyDescent="0.3">
      <c r="A11" t="s">
        <v>30</v>
      </c>
      <c r="B11" s="1">
        <v>46270</v>
      </c>
      <c r="C11" t="s">
        <v>12</v>
      </c>
      <c r="D11" t="s">
        <v>31</v>
      </c>
      <c r="E11">
        <v>10500</v>
      </c>
      <c r="F11">
        <v>630</v>
      </c>
      <c r="G11">
        <v>310</v>
      </c>
      <c r="H11">
        <v>55</v>
      </c>
      <c r="I11" s="2">
        <f t="shared" si="0"/>
        <v>0.06</v>
      </c>
      <c r="J11">
        <f t="shared" si="1"/>
        <v>365</v>
      </c>
    </row>
    <row r="12" spans="1:10" x14ac:dyDescent="0.3">
      <c r="A12" t="s">
        <v>32</v>
      </c>
      <c r="B12" s="1">
        <v>46271</v>
      </c>
      <c r="C12" t="s">
        <v>15</v>
      </c>
      <c r="D12" t="s">
        <v>33</v>
      </c>
      <c r="E12">
        <v>12500</v>
      </c>
      <c r="F12">
        <v>1000</v>
      </c>
      <c r="G12">
        <v>680</v>
      </c>
      <c r="H12">
        <v>110</v>
      </c>
      <c r="I12" s="2">
        <f t="shared" si="0"/>
        <v>0.08</v>
      </c>
      <c r="J12">
        <f t="shared" si="1"/>
        <v>790</v>
      </c>
    </row>
    <row r="13" spans="1:10" x14ac:dyDescent="0.3">
      <c r="A13" t="s">
        <v>34</v>
      </c>
      <c r="B13" s="1">
        <v>46271</v>
      </c>
      <c r="C13" t="s">
        <v>9</v>
      </c>
      <c r="D13" t="s">
        <v>35</v>
      </c>
      <c r="E13">
        <v>16000</v>
      </c>
      <c r="F13">
        <v>1440</v>
      </c>
      <c r="G13">
        <v>600</v>
      </c>
      <c r="H13">
        <v>130</v>
      </c>
      <c r="I13" s="2">
        <f t="shared" si="0"/>
        <v>0.09</v>
      </c>
      <c r="J13">
        <f t="shared" si="1"/>
        <v>730</v>
      </c>
    </row>
    <row r="14" spans="1:10" x14ac:dyDescent="0.3">
      <c r="A14" t="s">
        <v>36</v>
      </c>
      <c r="B14" s="1">
        <v>46272</v>
      </c>
      <c r="C14" t="s">
        <v>20</v>
      </c>
      <c r="D14" t="s">
        <v>37</v>
      </c>
      <c r="E14">
        <v>17000</v>
      </c>
      <c r="F14">
        <v>1020</v>
      </c>
      <c r="G14">
        <v>850</v>
      </c>
      <c r="H14">
        <v>140</v>
      </c>
      <c r="I14" s="2">
        <f t="shared" si="0"/>
        <v>0.06</v>
      </c>
      <c r="J14">
        <f t="shared" si="1"/>
        <v>990</v>
      </c>
    </row>
    <row r="15" spans="1:10" x14ac:dyDescent="0.3">
      <c r="A15" t="s">
        <v>38</v>
      </c>
      <c r="B15" s="1">
        <v>46272</v>
      </c>
      <c r="C15" t="s">
        <v>12</v>
      </c>
      <c r="D15" t="s">
        <v>39</v>
      </c>
      <c r="E15">
        <v>11500</v>
      </c>
      <c r="F15">
        <v>920</v>
      </c>
      <c r="G15">
        <v>360</v>
      </c>
      <c r="H15">
        <v>80</v>
      </c>
      <c r="I15" s="2">
        <f t="shared" si="0"/>
        <v>0.08</v>
      </c>
      <c r="J15">
        <f t="shared" si="1"/>
        <v>440</v>
      </c>
    </row>
    <row r="16" spans="1:10" x14ac:dyDescent="0.3">
      <c r="A16" t="s">
        <v>40</v>
      </c>
      <c r="B16" s="1">
        <v>46273</v>
      </c>
      <c r="C16" t="s">
        <v>15</v>
      </c>
      <c r="D16" t="s">
        <v>41</v>
      </c>
      <c r="E16">
        <v>19000</v>
      </c>
      <c r="F16">
        <v>1520</v>
      </c>
      <c r="G16">
        <v>1050</v>
      </c>
      <c r="H16">
        <v>190</v>
      </c>
      <c r="I16" s="2">
        <f t="shared" si="0"/>
        <v>0.08</v>
      </c>
      <c r="J16">
        <f t="shared" si="1"/>
        <v>1240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7218-22FF-45D6-A69E-814957EB18E0}">
  <dimension ref="A1:G49"/>
  <sheetViews>
    <sheetView tabSelected="1" topLeftCell="A25" workbookViewId="0">
      <selection activeCell="A49" sqref="A49"/>
    </sheetView>
  </sheetViews>
  <sheetFormatPr defaultRowHeight="14.4" x14ac:dyDescent="0.3"/>
  <cols>
    <col min="1" max="1" width="59.6640625" customWidth="1"/>
    <col min="4" max="4" width="14.33203125" customWidth="1"/>
    <col min="5" max="5" width="11.88671875" customWidth="1"/>
    <col min="6" max="6" width="11.77734375" customWidth="1"/>
    <col min="7" max="7" width="12.33203125" customWidth="1"/>
  </cols>
  <sheetData>
    <row r="1" spans="1:7" x14ac:dyDescent="0.3">
      <c r="A1" s="3" t="s">
        <v>44</v>
      </c>
      <c r="B1" s="3">
        <f>SUM(Media_Data!E2:E16)</f>
        <v>209000</v>
      </c>
      <c r="D1" s="5" t="s">
        <v>2</v>
      </c>
      <c r="E1" s="5" t="s">
        <v>44</v>
      </c>
      <c r="F1" s="5" t="s">
        <v>45</v>
      </c>
      <c r="G1" s="5" t="s">
        <v>47</v>
      </c>
    </row>
    <row r="2" spans="1:7" x14ac:dyDescent="0.3">
      <c r="A2" s="3" t="s">
        <v>45</v>
      </c>
      <c r="B2" s="3">
        <f>SUM(Media_Data!F2:F16)</f>
        <v>16140</v>
      </c>
      <c r="D2" t="s">
        <v>9</v>
      </c>
      <c r="E2">
        <f>SUMIF(Media_Data!C:C,D2,Media_Data!E:E)</f>
        <v>52000</v>
      </c>
      <c r="F2">
        <f>SUMIF(Media_Data!C:C,D2,Media_Data!F:F)</f>
        <v>4190</v>
      </c>
      <c r="G2" s="2">
        <f>AVERAGEIF(Media_Data!C:C,D2,Media_Data!I:I)</f>
        <v>0.08</v>
      </c>
    </row>
    <row r="3" spans="1:7" x14ac:dyDescent="0.3">
      <c r="A3" s="3" t="s">
        <v>46</v>
      </c>
      <c r="B3" s="3">
        <f>SUM(Media_Data!J2:J16)</f>
        <v>11617</v>
      </c>
      <c r="D3" t="s">
        <v>12</v>
      </c>
      <c r="E3">
        <f>SUMIF(Media_Data!C:C,D3,Media_Data!E:E)</f>
        <v>39500</v>
      </c>
      <c r="F3">
        <f>SUMIF(Media_Data!C:C,D3,Media_Data!F:F)</f>
        <v>2520</v>
      </c>
      <c r="G3" s="2">
        <f>AVERAGEIF(Media_Data!C:C,D3,Media_Data!I:I)</f>
        <v>6.25E-2</v>
      </c>
    </row>
    <row r="4" spans="1:7" x14ac:dyDescent="0.3">
      <c r="A4" s="3" t="s">
        <v>47</v>
      </c>
      <c r="B4" s="4">
        <f>AVERAGE(Media_Data!I2:I16)</f>
        <v>7.5333333333333335E-2</v>
      </c>
      <c r="D4" t="s">
        <v>15</v>
      </c>
      <c r="E4">
        <f>SUMIF(Media_Data!C:C,D4,Media_Data!E:E)</f>
        <v>60500</v>
      </c>
      <c r="F4">
        <f>SUMIF(Media_Data!C:C,D4,Media_Data!F:F)</f>
        <v>4990</v>
      </c>
      <c r="G4" s="2">
        <f>AVERAGEIF(Media_Data!C:C,D4,Media_Data!I:I)</f>
        <v>8.2500000000000004E-2</v>
      </c>
    </row>
    <row r="5" spans="1:7" x14ac:dyDescent="0.3">
      <c r="A5" s="3" t="s">
        <v>48</v>
      </c>
      <c r="B5" s="3">
        <f>MAX(Media_Data!E2:E16)</f>
        <v>22000</v>
      </c>
      <c r="D5" t="s">
        <v>20</v>
      </c>
      <c r="E5">
        <f>SUMIF(Media_Data!C:C,D5,Media_Data!E:E)</f>
        <v>57000</v>
      </c>
      <c r="F5">
        <f>SUMIF(Media_Data!C:C,D5,Media_Data!F:F)</f>
        <v>4440</v>
      </c>
      <c r="G5" s="2">
        <f>AVERAGEIF(Media_Data!C:C,D5,Media_Data!I:I)</f>
        <v>7.6666666666666661E-2</v>
      </c>
    </row>
    <row r="6" spans="1:7" x14ac:dyDescent="0.3">
      <c r="A6" s="3" t="s">
        <v>49</v>
      </c>
      <c r="B6" s="3">
        <f>MIN(Media_Data!E2:E16)</f>
        <v>8000</v>
      </c>
    </row>
    <row r="7" spans="1:7" x14ac:dyDescent="0.3">
      <c r="A7" s="3" t="s">
        <v>50</v>
      </c>
      <c r="B7" s="3">
        <f>AVERAGE(Media_Data!E2:E16)</f>
        <v>13933.333333333334</v>
      </c>
    </row>
    <row r="9" spans="1:7" ht="21" x14ac:dyDescent="0.4">
      <c r="A9" s="6" t="s">
        <v>51</v>
      </c>
    </row>
    <row r="45" spans="1:1" x14ac:dyDescent="0.3">
      <c r="A45" t="s">
        <v>52</v>
      </c>
    </row>
    <row r="46" spans="1:1" x14ac:dyDescent="0.3">
      <c r="A46" t="s">
        <v>53</v>
      </c>
    </row>
    <row r="47" spans="1:1" x14ac:dyDescent="0.3">
      <c r="A47" t="s">
        <v>54</v>
      </c>
    </row>
    <row r="48" spans="1:1" x14ac:dyDescent="0.3">
      <c r="A48" t="s">
        <v>55</v>
      </c>
    </row>
    <row r="49" spans="1:1" x14ac:dyDescent="0.3">
      <c r="A49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pradhan</dc:creator>
  <cp:lastModifiedBy>Rani pradhan</cp:lastModifiedBy>
  <dcterms:created xsi:type="dcterms:W3CDTF">2026-10-13T13:51:10Z</dcterms:created>
  <dcterms:modified xsi:type="dcterms:W3CDTF">2026-10-13T17:09:14Z</dcterms:modified>
</cp:coreProperties>
</file>